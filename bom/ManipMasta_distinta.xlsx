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quisti" sheetId="1" state="visible" r:id="rId1"/>
    <sheet xmlns:r="http://schemas.openxmlformats.org/officeDocument/2006/relationships" name="Artigiani" sheetId="2" state="visible" r:id="rId2"/>
    <sheet xmlns:r="http://schemas.openxmlformats.org/officeDocument/2006/relationships" name="Riepilo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&quot;€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0B7C0"/>
      </left>
      <right style="thin">
        <color rgb="00B0B7C0"/>
      </right>
      <top style="thin">
        <color rgb="00B0B7C0"/>
      </top>
      <bottom style="thin">
        <color rgb="00B0B7C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46" customWidth="1" min="3" max="3"/>
    <col width="7" customWidth="1" min="4" max="4"/>
    <col width="13" customWidth="1" min="5" max="5"/>
    <col width="34" customWidth="1" min="6" max="6"/>
    <col width="38" customWidth="1" min="7" max="7"/>
    <col width="13" customWidth="1" min="8" max="8"/>
  </cols>
  <sheetData>
    <row r="1">
      <c r="A1" s="1" t="inlineStr">
        <is>
          <t>Codice</t>
        </is>
      </c>
      <c r="B1" s="1" t="inlineStr">
        <is>
          <t>Descrizione</t>
        </is>
      </c>
      <c r="C1" s="1" t="inlineStr">
        <is>
          <t>Specifica / ricerca</t>
        </is>
      </c>
      <c r="D1" s="1" t="inlineStr">
        <is>
          <t>Q.tà</t>
        </is>
      </c>
      <c r="E1" s="1" t="inlineStr">
        <is>
          <t>€ unit. stimato</t>
        </is>
      </c>
      <c r="F1" s="1" t="inlineStr">
        <is>
          <t>Fornitore tipo</t>
        </is>
      </c>
      <c r="G1" s="1" t="inlineStr">
        <is>
          <t>Note</t>
        </is>
      </c>
      <c r="H1" s="1" t="inlineStr">
        <is>
          <t>€ totale</t>
        </is>
      </c>
    </row>
    <row r="2">
      <c r="A2" s="2" t="inlineStr">
        <is>
          <t>M01</t>
        </is>
      </c>
      <c r="B2" s="2" t="inlineStr">
        <is>
          <t>Guida supportata SBR20 L=1800</t>
        </is>
      </c>
      <c r="C2" s="2" t="inlineStr">
        <is>
          <t>SBR20 albero Ø20 cromato (o inox) con base alluminio, L 1800</t>
        </is>
      </c>
      <c r="D2" s="2" t="n">
        <v>2</v>
      </c>
      <c r="E2" s="3" t="n">
        <v>65</v>
      </c>
      <c r="F2" s="2" t="inlineStr">
        <is>
          <t>Fornitore componenti lineari (es. negozio CNC, Misumi, RS)</t>
        </is>
      </c>
      <c r="G2" s="2" t="inlineStr">
        <is>
          <t>Montare con grasso alimentare NSF H1</t>
        </is>
      </c>
      <c r="H2" s="3">
        <f>D2*E2</f>
        <v/>
      </c>
    </row>
    <row r="3">
      <c r="A3" s="2" t="inlineStr">
        <is>
          <t>M02</t>
        </is>
      </c>
      <c r="B3" s="2" t="inlineStr">
        <is>
          <t>Pattino aperto SBR20UU</t>
        </is>
      </c>
      <c r="C3" s="2" t="inlineStr">
        <is>
          <t>SBR20UU, foratura 4×M6 [verificare interassi]</t>
        </is>
      </c>
      <c r="D3" s="2" t="n">
        <v>4</v>
      </c>
      <c r="E3" s="3" t="n">
        <v>12</v>
      </c>
      <c r="F3" s="2" t="inlineStr">
        <is>
          <t>idem</t>
        </is>
      </c>
      <c r="G3" s="2" t="inlineStr"/>
      <c r="H3" s="3">
        <f>D3*E3</f>
        <v/>
      </c>
    </row>
    <row r="4">
      <c r="A4" s="2" t="inlineStr">
        <is>
          <t>M03</t>
        </is>
      </c>
      <c r="B4" s="2" t="inlineStr">
        <is>
          <t>Albero rettificato Ø16 h6 inox L=380</t>
        </is>
      </c>
      <c r="C4" s="2" t="inlineStr">
        <is>
          <t>AISI 440C / 304 cromato Ø16 h6</t>
        </is>
      </c>
      <c r="D4" s="2" t="n">
        <v>4</v>
      </c>
      <c r="E4" s="3" t="n">
        <v>18</v>
      </c>
      <c r="F4" s="2" t="inlineStr">
        <is>
          <t>idem</t>
        </is>
      </c>
      <c r="G4" s="2" t="inlineStr">
        <is>
          <t>Guide asse Z</t>
        </is>
      </c>
      <c r="H4" s="3">
        <f>D4*E4</f>
        <v/>
      </c>
    </row>
    <row r="5">
      <c r="A5" s="2" t="inlineStr">
        <is>
          <t>M04</t>
        </is>
      </c>
      <c r="B5" s="2" t="inlineStr">
        <is>
          <t>Supporto albero SK16</t>
        </is>
      </c>
      <c r="C5" s="2" t="inlineStr">
        <is>
          <t>SK16 alluminio</t>
        </is>
      </c>
      <c r="D5" s="2" t="n">
        <v>8</v>
      </c>
      <c r="E5" s="3" t="n">
        <v>5</v>
      </c>
      <c r="F5" s="2" t="inlineStr">
        <is>
          <t>idem</t>
        </is>
      </c>
      <c r="G5" s="2" t="inlineStr"/>
      <c r="H5" s="3">
        <f>D5*E5</f>
        <v/>
      </c>
    </row>
    <row r="6">
      <c r="A6" s="2" t="inlineStr">
        <is>
          <t>M05</t>
        </is>
      </c>
      <c r="B6" s="2" t="inlineStr">
        <is>
          <t>Pattino chiuso SC16UU</t>
        </is>
      </c>
      <c r="C6" s="2" t="inlineStr">
        <is>
          <t>SC16UU con boccola LM16UU</t>
        </is>
      </c>
      <c r="D6" s="2" t="n">
        <v>8</v>
      </c>
      <c r="E6" s="3" t="n">
        <v>9</v>
      </c>
      <c r="F6" s="2" t="inlineStr">
        <is>
          <t>idem</t>
        </is>
      </c>
      <c r="G6" s="2" t="inlineStr">
        <is>
          <t>2 per albero</t>
        </is>
      </c>
      <c r="H6" s="3">
        <f>D6*E6</f>
        <v/>
      </c>
    </row>
    <row r="7">
      <c r="A7" s="2" t="inlineStr">
        <is>
          <t>M06</t>
        </is>
      </c>
      <c r="B7" s="2" t="inlineStr">
        <is>
          <t>Vite trapezia TR16×4 L=420 + chiocciola flangiata</t>
        </is>
      </c>
      <c r="C7" s="2" t="inlineStr">
        <is>
          <t>TR16x4 destra, chiocciola bronzo flangiata</t>
        </is>
      </c>
      <c r="D7" s="2" t="n">
        <v>2</v>
      </c>
      <c r="E7" s="3" t="n">
        <v>35</v>
      </c>
      <c r="F7" s="2" t="inlineStr">
        <is>
          <t>idem</t>
        </is>
      </c>
      <c r="G7" s="2" t="inlineStr">
        <is>
          <t>Autobloccante: il rullo non cade a motori spenti</t>
        </is>
      </c>
      <c r="H7" s="3">
        <f>D7*E7</f>
        <v/>
      </c>
    </row>
    <row r="8">
      <c r="A8" s="2" t="inlineStr">
        <is>
          <t>M07</t>
        </is>
      </c>
      <c r="B8" s="2" t="inlineStr">
        <is>
          <t>Supporti vite BK12 + BF12 (coppia)</t>
        </is>
      </c>
      <c r="C8" s="2" t="inlineStr">
        <is>
          <t>BK12/BF12 con estremità vite lavorata Ø12</t>
        </is>
      </c>
      <c r="D8" s="2" t="n">
        <v>2</v>
      </c>
      <c r="E8" s="3" t="n">
        <v>30</v>
      </c>
      <c r="F8" s="2" t="inlineStr">
        <is>
          <t>idem</t>
        </is>
      </c>
      <c r="G8" s="2" t="inlineStr">
        <is>
          <t>Lavorazione estremità vite: chiedere al fornitore della vite</t>
        </is>
      </c>
      <c r="H8" s="3">
        <f>D8*E8</f>
        <v/>
      </c>
    </row>
    <row r="9">
      <c r="A9" s="2" t="inlineStr">
        <is>
          <t>M08</t>
        </is>
      </c>
      <c r="B9" s="2" t="inlineStr">
        <is>
          <t>Giunto elastico 8→12</t>
        </is>
      </c>
      <c r="C9" s="2" t="inlineStr">
        <is>
          <t>giunto a soffietto/oldham Ø25 L30, foro 8 e 12</t>
        </is>
      </c>
      <c r="D9" s="2" t="n">
        <v>2</v>
      </c>
      <c r="E9" s="3" t="n">
        <v>12</v>
      </c>
      <c r="F9" s="2" t="inlineStr">
        <is>
          <t>idem</t>
        </is>
      </c>
      <c r="G9" s="2" t="inlineStr">
        <is>
          <t>Motori Z</t>
        </is>
      </c>
      <c r="H9" s="3">
        <f>D9*E9</f>
        <v/>
      </c>
    </row>
    <row r="10">
      <c r="A10" s="2" t="inlineStr">
        <is>
          <t>M09</t>
        </is>
      </c>
      <c r="B10" s="2" t="inlineStr">
        <is>
          <t>Giunto elastico 8→14</t>
        </is>
      </c>
      <c r="C10" s="2" t="inlineStr">
        <is>
          <t>giunto a soffietto Ø32, foro 8 e 14</t>
        </is>
      </c>
      <c r="D10" s="2" t="n">
        <v>1</v>
      </c>
      <c r="E10" s="3" t="n">
        <v>15</v>
      </c>
      <c r="F10" s="2" t="inlineStr">
        <is>
          <t>idem</t>
        </is>
      </c>
      <c r="G10" s="2" t="inlineStr">
        <is>
          <t>Motore X</t>
        </is>
      </c>
      <c r="H10" s="3">
        <f>D10*E10</f>
        <v/>
      </c>
    </row>
    <row r="11">
      <c r="A11" s="2" t="inlineStr">
        <is>
          <t>M10</t>
        </is>
      </c>
      <c r="B11" s="2" t="inlineStr">
        <is>
          <t>Cuscinetto inox S6204-2RS + seeger DIN 471 Ø20</t>
        </is>
      </c>
      <c r="C11" s="2" t="inlineStr">
        <is>
          <t>S6204-2RS Ø20×47×14 acciaio inox, schermato</t>
        </is>
      </c>
      <c r="D11" s="2" t="n">
        <v>2</v>
      </c>
      <c r="E11" s="3" t="n">
        <v>22</v>
      </c>
      <c r="F11" s="2" t="inlineStr">
        <is>
          <t>Ricambi cuscinetti / SKF-NTN rivenditore</t>
        </is>
      </c>
      <c r="G11" s="2" t="inlineStr">
        <is>
          <t>Nelle sedi delle slitte Z, chiusi da COP-01</t>
        </is>
      </c>
      <c r="H11" s="3">
        <f>D11*E11</f>
        <v/>
      </c>
    </row>
    <row r="12">
      <c r="A12" s="2" t="inlineStr">
        <is>
          <t>M11</t>
        </is>
      </c>
      <c r="B12" s="2" t="inlineStr">
        <is>
          <t>Supporto flangiato KFL002</t>
        </is>
      </c>
      <c r="C12" s="2" t="inlineStr">
        <is>
          <t>KFL002 foro 15 (o inox SFL202)</t>
        </is>
      </c>
      <c r="D12" s="2" t="n">
        <v>4</v>
      </c>
      <c r="E12" s="3" t="n">
        <v>9</v>
      </c>
      <c r="F12" s="2" t="inlineStr">
        <is>
          <t>idem</t>
        </is>
      </c>
      <c r="G12" s="2" t="inlineStr">
        <is>
          <t>Albero di sincronismo X</t>
        </is>
      </c>
      <c r="H12" s="3">
        <f>D12*E12</f>
        <v/>
      </c>
    </row>
    <row r="13">
      <c r="A13" s="2" t="inlineStr">
        <is>
          <t>M12</t>
        </is>
      </c>
      <c r="B13" s="2" t="inlineStr">
        <is>
          <t>Puleggia HTD-5M 20T per cinghia 15, foro 15 con cava</t>
        </is>
      </c>
      <c r="C13" s="2" t="inlineStr">
        <is>
          <t>HTD 5M 20T b15, foro finito 15H7 + cava 5</t>
        </is>
      </c>
      <c r="D13" s="2" t="n">
        <v>2</v>
      </c>
      <c r="E13" s="3" t="n">
        <v>16</v>
      </c>
      <c r="F13" s="2" t="inlineStr">
        <is>
          <t>Trasmissioni (es. Mädler, Misumi)</t>
        </is>
      </c>
      <c r="G13" s="2" t="inlineStr">
        <is>
          <t>Motrici asse X</t>
        </is>
      </c>
      <c r="H13" s="3">
        <f>D13*E13</f>
        <v/>
      </c>
    </row>
    <row r="14">
      <c r="A14" s="2" t="inlineStr">
        <is>
          <t>M13</t>
        </is>
      </c>
      <c r="B14" s="2" t="inlineStr">
        <is>
          <t>Puleggia folle HTD-5M 20T con cuscinetti</t>
        </is>
      </c>
      <c r="C14" s="2" t="inlineStr">
        <is>
          <t>rinvio 20T b15 con 2 cuscinetti, perno M8</t>
        </is>
      </c>
      <c r="D14" s="2" t="n">
        <v>2</v>
      </c>
      <c r="E14" s="3" t="n">
        <v>18</v>
      </c>
      <c r="F14" s="2" t="inlineStr">
        <is>
          <t>idem</t>
        </is>
      </c>
      <c r="G14" s="2" t="inlineStr">
        <is>
          <t>Rinvii asse X</t>
        </is>
      </c>
      <c r="H14" s="3">
        <f>D14*E14</f>
        <v/>
      </c>
    </row>
    <row r="15">
      <c r="A15" s="2" t="inlineStr">
        <is>
          <t>M14</t>
        </is>
      </c>
      <c r="B15" s="2" t="inlineStr">
        <is>
          <t>Cinghia aperta HTD-5M larghezza 15</t>
        </is>
      </c>
      <c r="C15" s="2" t="inlineStr">
        <is>
          <t>HTD-5M-15 aperta, 5 m (2 × 3,9 m)</t>
        </is>
      </c>
      <c r="D15" s="2" t="n">
        <v>1</v>
      </c>
      <c r="E15" s="3" t="n">
        <v>45</v>
      </c>
      <c r="F15" s="2" t="inlineStr">
        <is>
          <t>idem</t>
        </is>
      </c>
      <c r="G15" s="2" t="inlineStr">
        <is>
          <t>Fissata ai carrelli con morsetti</t>
        </is>
      </c>
      <c r="H15" s="3">
        <f>D15*E15</f>
        <v/>
      </c>
    </row>
    <row r="16">
      <c r="A16" s="2" t="inlineStr">
        <is>
          <t>M15</t>
        </is>
      </c>
      <c r="B16" s="2" t="inlineStr">
        <is>
          <t>Puleggia HTD-5M 20T foro 8 (motore R)</t>
        </is>
      </c>
      <c r="C16" s="2" t="inlineStr">
        <is>
          <t>HTD 5M 20T b15 foro 8 con grani</t>
        </is>
      </c>
      <c r="D16" s="2" t="n">
        <v>1</v>
      </c>
      <c r="E16" s="3" t="n">
        <v>14</v>
      </c>
      <c r="F16" s="2" t="inlineStr">
        <is>
          <t>idem</t>
        </is>
      </c>
      <c r="G16" s="2" t="inlineStr"/>
      <c r="H16" s="3">
        <f>D16*E16</f>
        <v/>
      </c>
    </row>
    <row r="17">
      <c r="A17" s="2" t="inlineStr">
        <is>
          <t>M16</t>
        </is>
      </c>
      <c r="B17" s="2" t="inlineStr">
        <is>
          <t>Puleggia HTD-5M 40T foro 20 con cava (rullo)</t>
        </is>
      </c>
      <c r="C17" s="2" t="inlineStr">
        <is>
          <t>HTD 5M 40T b15 foro 20H7 + cava 6</t>
        </is>
      </c>
      <c r="D17" s="2" t="n">
        <v>1</v>
      </c>
      <c r="E17" s="3" t="n">
        <v>28</v>
      </c>
      <c r="F17" s="2" t="inlineStr">
        <is>
          <t>idem</t>
        </is>
      </c>
      <c r="G17" s="2" t="inlineStr"/>
      <c r="H17" s="3">
        <f>D17*E17</f>
        <v/>
      </c>
    </row>
    <row r="18">
      <c r="A18" s="2" t="inlineStr">
        <is>
          <t>M17</t>
        </is>
      </c>
      <c r="B18" s="2" t="inlineStr">
        <is>
          <t>Cinghia chiusa HTD 425-5M-15</t>
        </is>
      </c>
      <c r="C18" s="2" t="inlineStr">
        <is>
          <t>HTD 425-5M larghezza 15</t>
        </is>
      </c>
      <c r="D18" s="2" t="n">
        <v>1</v>
      </c>
      <c r="E18" s="3" t="n">
        <v>12</v>
      </c>
      <c r="F18" s="2" t="inlineStr">
        <is>
          <t>idem</t>
        </is>
      </c>
      <c r="G18" s="2" t="inlineStr">
        <is>
          <t>Verificare lunghezza a montaggio (tendicinghia ±6 mm)</t>
        </is>
      </c>
      <c r="H18" s="3">
        <f>D18*E18</f>
        <v/>
      </c>
    </row>
    <row r="19">
      <c r="A19" s="2" t="inlineStr">
        <is>
          <t>M18</t>
        </is>
      </c>
      <c r="B19" s="2" t="inlineStr">
        <is>
          <t>Morsetto cinghia HTD-5M 15</t>
        </is>
      </c>
      <c r="C19" s="2" t="inlineStr">
        <is>
          <t>piastrina di bloccaggio dentata</t>
        </is>
      </c>
      <c r="D19" s="2" t="n">
        <v>4</v>
      </c>
      <c r="E19" s="3" t="n">
        <v>6</v>
      </c>
      <c r="F19" s="2" t="inlineStr">
        <is>
          <t>idem</t>
        </is>
      </c>
      <c r="G19" s="2" t="inlineStr"/>
      <c r="H19" s="3">
        <f>D19*E19</f>
        <v/>
      </c>
    </row>
    <row r="20">
      <c r="A20" s="2" t="inlineStr">
        <is>
          <t>M19</t>
        </is>
      </c>
      <c r="B20" s="2" t="inlineStr">
        <is>
          <t>Perno a sfere Ø8 × 110 con anello</t>
        </is>
      </c>
      <c r="C20" s="2" t="inlineStr">
        <is>
          <t>ball lock pin Ø8 (es. GN 113 / KIPP K0790), inox</t>
        </is>
      </c>
      <c r="D20" s="2" t="n">
        <v>2</v>
      </c>
      <c r="E20" s="3" t="n">
        <v>25</v>
      </c>
      <c r="F20" s="2" t="inlineStr">
        <is>
          <t>Ganter / KIPP / Elesa</t>
        </is>
      </c>
      <c r="G20" s="2" t="inlineStr">
        <is>
          <t>Bloccaggio portale su A1 e A2</t>
        </is>
      </c>
      <c r="H20" s="3">
        <f>D20*E20</f>
        <v/>
      </c>
    </row>
    <row r="21">
      <c r="A21" s="2" t="inlineStr">
        <is>
          <t>M20</t>
        </is>
      </c>
      <c r="B21" s="2" t="inlineStr">
        <is>
          <t>Catena portacavi 15×30 R48</t>
        </is>
      </c>
      <c r="C21" s="2" t="inlineStr">
        <is>
          <t>igus E2 micro serie 15 o equivalente, 1,2 m + attacchi</t>
        </is>
      </c>
      <c r="D21" s="2" t="n">
        <v>1</v>
      </c>
      <c r="E21" s="3" t="n">
        <v>45</v>
      </c>
      <c r="F21" s="2" t="inlineStr">
        <is>
          <t>igus / rivenditore</t>
        </is>
      </c>
      <c r="G21" s="2" t="inlineStr"/>
      <c r="H21" s="3">
        <f>D21*E21</f>
        <v/>
      </c>
    </row>
    <row r="22">
      <c r="A22" s="2" t="inlineStr">
        <is>
          <t>M21</t>
        </is>
      </c>
      <c r="B22" s="2" t="inlineStr">
        <is>
          <t>Viteria inox A2/A4 assortita</t>
        </is>
      </c>
      <c r="C22" s="2" t="inlineStr">
        <is>
          <t>M5, M6, M8, M12, rondelle, grani</t>
        </is>
      </c>
      <c r="D22" s="2" t="n">
        <v>1</v>
      </c>
      <c r="E22" s="3" t="n">
        <v>60</v>
      </c>
      <c r="F22" s="2" t="inlineStr">
        <is>
          <t>Ferramenta industriale</t>
        </is>
      </c>
      <c r="G22" s="2" t="inlineStr"/>
      <c r="H22" s="3">
        <f>D22*E22</f>
        <v/>
      </c>
    </row>
    <row r="23">
      <c r="A23" s="2" t="inlineStr">
        <is>
          <t>M22</t>
        </is>
      </c>
      <c r="B23" s="2" t="inlineStr">
        <is>
          <t>Grasso alimentare NSF H1</t>
        </is>
      </c>
      <c r="C23" s="2" t="inlineStr">
        <is>
          <t>es. lubrificante H1 per guide</t>
        </is>
      </c>
      <c r="D23" s="2" t="n">
        <v>1</v>
      </c>
      <c r="E23" s="3" t="n">
        <v>18</v>
      </c>
      <c r="F23" s="2" t="inlineStr">
        <is>
          <t>idem</t>
        </is>
      </c>
      <c r="G23" s="2" t="inlineStr"/>
      <c r="H23" s="3">
        <f>D23*E23</f>
        <v/>
      </c>
    </row>
    <row r="24">
      <c r="A24" s="2" t="inlineStr">
        <is>
          <t>A01</t>
        </is>
      </c>
      <c r="B24" s="2" t="inlineStr">
        <is>
          <t>Kit motore NEMA23 closed-loop 2 Nm + driver</t>
        </is>
      </c>
      <c r="C24" s="2" t="inlineStr">
        <is>
          <t>NEMA23 2 Nm encoder 1000 lin. + driver CL57T (o HSS57) + cavi</t>
        </is>
      </c>
      <c r="D24" s="2" t="n">
        <v>4</v>
      </c>
      <c r="E24" s="3" t="n">
        <v>85</v>
      </c>
      <c r="F24" s="2" t="inlineStr">
        <is>
          <t>StepperOnline / rivenditore CNC</t>
        </is>
      </c>
      <c r="G24" s="2" t="inlineStr">
        <is>
          <t>X, Z1, Z2, R</t>
        </is>
      </c>
      <c r="H24" s="3">
        <f>D24*E24</f>
        <v/>
      </c>
    </row>
    <row r="25">
      <c r="A25" s="2" t="inlineStr">
        <is>
          <t>S01</t>
        </is>
      </c>
      <c r="B25" s="2" t="inlineStr">
        <is>
          <t>Sensore induttivo M12 PNP NO 24 V</t>
        </is>
      </c>
      <c r="C25" s="2" t="inlineStr">
        <is>
          <t>M12 Sn 4 mm schermato, 3 fili, cavo 2 m (o connettore M12)</t>
        </is>
      </c>
      <c r="D25" s="2" t="n">
        <v>8</v>
      </c>
      <c r="E25" s="3" t="n">
        <v>14</v>
      </c>
      <c r="F25" s="2" t="inlineStr">
        <is>
          <t>Automazione (es. Omron, Sick, Pepperl+Fuchs o equivalenti)</t>
        </is>
      </c>
      <c r="G25" s="2" t="inlineStr">
        <is>
          <t>X_MIN, X_MAX, Z1/Z2 HOME, Z1/Z2 LOW, SEAT A/B</t>
        </is>
      </c>
      <c r="H25" s="3">
        <f>D25*E25</f>
        <v/>
      </c>
    </row>
    <row r="26">
      <c r="A26" s="2" t="inlineStr">
        <is>
          <t>S02</t>
        </is>
      </c>
      <c r="B26" s="2" t="inlineStr">
        <is>
          <t>Barriera fotoelettrica di sicurezza (coppia)</t>
        </is>
      </c>
      <c r="C26" s="2" t="inlineStr">
        <is>
          <t>tipo 2 o 4, risoluzione 30 mm, altezza 300, OSSD PNP</t>
        </is>
      </c>
      <c r="D26" s="2" t="n">
        <v>2</v>
      </c>
      <c r="E26" s="3" t="n">
        <v>380</v>
      </c>
      <c r="F26" s="2" t="inlineStr">
        <is>
          <t>Automazione sicurezza</t>
        </is>
      </c>
      <c r="G26" s="2" t="inlineStr">
        <is>
          <t>Lati lunghi: consigliata per uso con operatori</t>
        </is>
      </c>
      <c r="H26" s="3">
        <f>D26*E26</f>
        <v/>
      </c>
    </row>
    <row r="27">
      <c r="A27" s="2" t="inlineStr">
        <is>
          <t>E01</t>
        </is>
      </c>
      <c r="B27" s="2" t="inlineStr">
        <is>
          <t>Arduino Mega 2560 Rev3 (originale)</t>
        </is>
      </c>
      <c r="C27" s="2" t="inlineStr">
        <is>
          <t>A000067</t>
        </is>
      </c>
      <c r="D27" s="2" t="n">
        <v>1</v>
      </c>
      <c r="E27" s="3" t="n">
        <v>45</v>
      </c>
      <c r="F27" s="2" t="inlineStr">
        <is>
          <t>store.arduino.cc / distributori</t>
        </is>
      </c>
      <c r="G27" s="2" t="inlineStr"/>
      <c r="H27" s="3">
        <f>D27*E27</f>
        <v/>
      </c>
    </row>
    <row r="28">
      <c r="A28" s="2" t="inlineStr">
        <is>
          <t>E02</t>
        </is>
      </c>
      <c r="B28" s="2" t="inlineStr">
        <is>
          <t>Arduino Ethernet Shield 2</t>
        </is>
      </c>
      <c r="C28" s="2" t="inlineStr">
        <is>
          <t>A000024 (W5500)</t>
        </is>
      </c>
      <c r="D28" s="2" t="n">
        <v>1</v>
      </c>
      <c r="E28" s="3" t="n">
        <v>30</v>
      </c>
      <c r="F28" s="2" t="inlineStr">
        <is>
          <t>idem</t>
        </is>
      </c>
      <c r="G28" s="2" t="inlineStr"/>
      <c r="H28" s="3">
        <f>D28*E28</f>
        <v/>
      </c>
    </row>
    <row r="29">
      <c r="A29" s="2" t="inlineStr">
        <is>
          <t>E03</t>
        </is>
      </c>
      <c r="B29" s="2" t="inlineStr">
        <is>
          <t>Screw shield / morsettiera per Mega</t>
        </is>
      </c>
      <c r="C29" s="2" t="inlineStr">
        <is>
          <t>proto shield con morsetti a vite</t>
        </is>
      </c>
      <c r="D29" s="2" t="n">
        <v>1</v>
      </c>
      <c r="E29" s="3" t="n">
        <v>18</v>
      </c>
      <c r="F29" s="2" t="inlineStr">
        <is>
          <t>idem</t>
        </is>
      </c>
      <c r="G29" s="2" t="inlineStr"/>
      <c r="H29" s="3">
        <f>D29*E29</f>
        <v/>
      </c>
    </row>
    <row r="30">
      <c r="A30" s="2" t="inlineStr">
        <is>
          <t>E04</t>
        </is>
      </c>
      <c r="B30" s="2" t="inlineStr">
        <is>
          <t>Scheda ingressi optoisolati 8 canali 24→5 V</t>
        </is>
      </c>
      <c r="C30" s="2" t="inlineStr">
        <is>
          <t>PC817 8 canali</t>
        </is>
      </c>
      <c r="D30" s="2" t="n">
        <v>2</v>
      </c>
      <c r="E30" s="3" t="n">
        <v>9</v>
      </c>
      <c r="F30" s="2" t="inlineStr">
        <is>
          <t>Elettronica</t>
        </is>
      </c>
      <c r="G30" s="2" t="inlineStr">
        <is>
          <t>U6 sensori, U7 sicurezza/pulsanti</t>
        </is>
      </c>
      <c r="H30" s="3">
        <f>D30*E30</f>
        <v/>
      </c>
    </row>
    <row r="31">
      <c r="A31" s="2" t="inlineStr">
        <is>
          <t>E05</t>
        </is>
      </c>
      <c r="B31" s="2" t="inlineStr">
        <is>
          <t>Modulo 4 relè 5 V attivo ALTO</t>
        </is>
      </c>
      <c r="C31" s="2" t="inlineStr">
        <is>
          <t>4 relè 10 A, ingresso optoisolato, jumper livello</t>
        </is>
      </c>
      <c r="D31" s="2" t="n">
        <v>1</v>
      </c>
      <c r="E31" s="3" t="n">
        <v>9</v>
      </c>
      <c r="F31" s="2" t="inlineStr">
        <is>
          <t>Elettronica</t>
        </is>
      </c>
      <c r="G31" s="2" t="inlineStr">
        <is>
          <t>Bobine da U9</t>
        </is>
      </c>
      <c r="H31" s="3">
        <f>D31*E31</f>
        <v/>
      </c>
    </row>
    <row r="32">
      <c r="A32" s="2" t="inlineStr">
        <is>
          <t>E06</t>
        </is>
      </c>
      <c r="B32" s="2" t="inlineStr">
        <is>
          <t>Convertitore DC/DC 24→5 V 1 A (U9)</t>
        </is>
      </c>
      <c r="C32" s="2" t="inlineStr">
        <is>
          <t>modulo DIN o buck isolato</t>
        </is>
      </c>
      <c r="D32" s="2" t="n">
        <v>1</v>
      </c>
      <c r="E32" s="3" t="n">
        <v>15</v>
      </c>
      <c r="F32" s="2" t="inlineStr">
        <is>
          <t>Elettronica</t>
        </is>
      </c>
      <c r="G32" s="2" t="inlineStr"/>
      <c r="H32" s="3">
        <f>D32*E32</f>
        <v/>
      </c>
    </row>
    <row r="33">
      <c r="A33" s="2" t="inlineStr">
        <is>
          <t>E07</t>
        </is>
      </c>
      <c r="B33" s="2" t="inlineStr">
        <is>
          <t>Buffer 74HCT245 su millefori (opz.)</t>
        </is>
      </c>
      <c r="C33" s="2" t="inlineStr">
        <is>
          <t>se l'assorbimento ingressi driver supera i limiti del Mega</t>
        </is>
      </c>
      <c r="D33" s="2" t="n">
        <v>1</v>
      </c>
      <c r="E33" s="3" t="n">
        <v>6</v>
      </c>
      <c r="F33" s="2" t="inlineStr">
        <is>
          <t>Elettronica</t>
        </is>
      </c>
      <c r="G33" s="2" t="inlineStr">
        <is>
          <t>Opzionale</t>
        </is>
      </c>
      <c r="H33" s="3">
        <f>D33*E33</f>
        <v/>
      </c>
    </row>
    <row r="34">
      <c r="A34" s="2" t="inlineStr">
        <is>
          <t>Q01</t>
        </is>
      </c>
      <c r="B34" s="2" t="inlineStr">
        <is>
          <t>Alimentatore 48 V 480 W DIN</t>
        </is>
      </c>
      <c r="C34" s="2" t="inlineStr">
        <is>
          <t>Mean Well SDR-480-48</t>
        </is>
      </c>
      <c r="D34" s="2" t="n">
        <v>1</v>
      </c>
      <c r="E34" s="3" t="n">
        <v>120</v>
      </c>
      <c r="F34" s="2" t="inlineStr">
        <is>
          <t>Distributore Mean Well</t>
        </is>
      </c>
      <c r="G34" s="2" t="inlineStr">
        <is>
          <t>Driver motori</t>
        </is>
      </c>
      <c r="H34" s="3">
        <f>D34*E34</f>
        <v/>
      </c>
    </row>
    <row r="35">
      <c r="A35" s="2" t="inlineStr">
        <is>
          <t>Q02</t>
        </is>
      </c>
      <c r="B35" s="2" t="inlineStr">
        <is>
          <t>Alimentatore 24 V 60 W DIN</t>
        </is>
      </c>
      <c r="C35" s="2" t="inlineStr">
        <is>
          <t>Mean Well HDR-60-24</t>
        </is>
      </c>
      <c r="D35" s="2" t="n">
        <v>1</v>
      </c>
      <c r="E35" s="3" t="n">
        <v>30</v>
      </c>
      <c r="F35" s="2" t="inlineStr">
        <is>
          <t>idem</t>
        </is>
      </c>
      <c r="G35" s="2" t="inlineStr">
        <is>
          <t>Sensori, relè, colonna</t>
        </is>
      </c>
      <c r="H35" s="3">
        <f>D35*E35</f>
        <v/>
      </c>
    </row>
    <row r="36">
      <c r="A36" s="2" t="inlineStr">
        <is>
          <t>Q03</t>
        </is>
      </c>
      <c r="B36" s="2" t="inlineStr">
        <is>
          <t>Alimentatore 12 V 15 W DIN</t>
        </is>
      </c>
      <c r="C36" s="2" t="inlineStr">
        <is>
          <t>Mean Well HDR-15-12</t>
        </is>
      </c>
      <c r="D36" s="2" t="n">
        <v>1</v>
      </c>
      <c r="E36" s="3" t="n">
        <v>15</v>
      </c>
      <c r="F36" s="2" t="inlineStr">
        <is>
          <t>idem</t>
        </is>
      </c>
      <c r="G36" s="2" t="inlineStr">
        <is>
          <t>Vin Arduino</t>
        </is>
      </c>
      <c r="H36" s="3">
        <f>D36*E36</f>
        <v/>
      </c>
    </row>
    <row r="37">
      <c r="A37" s="2" t="inlineStr">
        <is>
          <t>Q04</t>
        </is>
      </c>
      <c r="B37" s="2" t="inlineStr">
        <is>
          <t>Interruttore magnetotermico 2P C10</t>
        </is>
      </c>
      <c r="C37" s="2" t="inlineStr">
        <is>
          <t>6 kA</t>
        </is>
      </c>
      <c r="D37" s="2" t="n">
        <v>1</v>
      </c>
      <c r="E37" s="3" t="n">
        <v>25</v>
      </c>
      <c r="F37" s="2" t="inlineStr">
        <is>
          <t>Materiale elettrico</t>
        </is>
      </c>
      <c r="G37" s="2" t="inlineStr"/>
      <c r="H37" s="3">
        <f>D37*E37</f>
        <v/>
      </c>
    </row>
    <row r="38">
      <c r="A38" s="2" t="inlineStr">
        <is>
          <t>Q05</t>
        </is>
      </c>
      <c r="B38" s="2" t="inlineStr">
        <is>
          <t>Modulo relè di sicurezza 2 canali cat. 3</t>
        </is>
      </c>
      <c r="C38" s="2" t="inlineStr">
        <is>
          <t>es. Pilz PNOZ s4, Schneider XPS, Phoenix PSR</t>
        </is>
      </c>
      <c r="D38" s="2" t="n">
        <v>1</v>
      </c>
      <c r="E38" s="3" t="n">
        <v>180</v>
      </c>
      <c r="F38" s="2" t="inlineStr">
        <is>
          <t>Automazione sicurezza</t>
        </is>
      </c>
      <c r="G38" s="2" t="inlineStr"/>
      <c r="H38" s="3">
        <f>D38*E38</f>
        <v/>
      </c>
    </row>
    <row r="39">
      <c r="A39" s="2" t="inlineStr">
        <is>
          <t>Q06</t>
        </is>
      </c>
      <c r="B39" s="2" t="inlineStr">
        <is>
          <t>Contattore 9 A bobina 24 V DC + contatto ausiliario NC</t>
        </is>
      </c>
      <c r="C39" s="2" t="inlineStr">
        <is>
          <t>es. Schneider LC1K09 + ausiliario</t>
        </is>
      </c>
      <c r="D39" s="2" t="n">
        <v>2</v>
      </c>
      <c r="E39" s="3" t="n">
        <v>35</v>
      </c>
      <c r="F39" s="2" t="inlineStr">
        <is>
          <t>Materiale elettrico</t>
        </is>
      </c>
      <c r="G39" s="2" t="inlineStr">
        <is>
          <t>KM1 + KM2 in serie</t>
        </is>
      </c>
      <c r="H39" s="3">
        <f>D39*E39</f>
        <v/>
      </c>
    </row>
    <row r="40">
      <c r="A40" s="2" t="inlineStr">
        <is>
          <t>Q07</t>
        </is>
      </c>
      <c r="B40" s="2" t="inlineStr">
        <is>
          <t>Fungo di emergenza 2NC ritenuta, testa Ø40</t>
        </is>
      </c>
      <c r="C40" s="2" t="inlineStr">
        <is>
          <t>con collare giallo</t>
        </is>
      </c>
      <c r="D40" s="2" t="n">
        <v>1</v>
      </c>
      <c r="E40" s="3" t="n">
        <v>35</v>
      </c>
      <c r="F40" s="2" t="inlineStr">
        <is>
          <t>idem</t>
        </is>
      </c>
      <c r="G40" s="2" t="inlineStr"/>
      <c r="H40" s="3">
        <f>D40*E40</f>
        <v/>
      </c>
    </row>
    <row r="41">
      <c r="A41" s="2" t="inlineStr">
        <is>
          <t>Q08</t>
        </is>
      </c>
      <c r="B41" s="2" t="inlineStr">
        <is>
          <t>Pulsanti Ø22: START verde NO, STOP rosso NC, RESET blu NO</t>
        </is>
      </c>
      <c r="C41" s="2" t="inlineStr"/>
      <c r="D41" s="2" t="n">
        <v>3</v>
      </c>
      <c r="E41" s="3" t="n">
        <v>12</v>
      </c>
      <c r="F41" s="2" t="inlineStr">
        <is>
          <t>idem</t>
        </is>
      </c>
      <c r="G41" s="2" t="inlineStr"/>
      <c r="H41" s="3">
        <f>D41*E41</f>
        <v/>
      </c>
    </row>
    <row r="42">
      <c r="A42" s="2" t="inlineStr">
        <is>
          <t>Q09</t>
        </is>
      </c>
      <c r="B42" s="2" t="inlineStr">
        <is>
          <t>Colonna luminosa 24 V verde/giallo/rosso + buzzer</t>
        </is>
      </c>
      <c r="C42" s="2" t="inlineStr"/>
      <c r="D42" s="2" t="n">
        <v>1</v>
      </c>
      <c r="E42" s="3" t="n">
        <v>55</v>
      </c>
      <c r="F42" s="2" t="inlineStr">
        <is>
          <t>idem</t>
        </is>
      </c>
      <c r="G42" s="2" t="inlineStr"/>
      <c r="H42" s="3">
        <f>D42*E42</f>
        <v/>
      </c>
    </row>
    <row r="43">
      <c r="A43" s="2" t="inlineStr">
        <is>
          <t>Q10</t>
        </is>
      </c>
      <c r="B43" s="2" t="inlineStr">
        <is>
          <t>Portafusibili DIN + fusibili 5 A</t>
        </is>
      </c>
      <c r="C43" s="2" t="inlineStr">
        <is>
          <t>10×38</t>
        </is>
      </c>
      <c r="D43" s="2" t="n">
        <v>4</v>
      </c>
      <c r="E43" s="3" t="n">
        <v>8</v>
      </c>
      <c r="F43" s="2" t="inlineStr">
        <is>
          <t>idem</t>
        </is>
      </c>
      <c r="G43" s="2" t="inlineStr">
        <is>
          <t>Uno per driver</t>
        </is>
      </c>
      <c r="H43" s="3">
        <f>D43*E43</f>
        <v/>
      </c>
    </row>
    <row r="44">
      <c r="A44" s="2" t="inlineStr">
        <is>
          <t>Q11</t>
        </is>
      </c>
      <c r="B44" s="2" t="inlineStr">
        <is>
          <t>Cassetta inox IP65 500×400×250 con piastra</t>
        </is>
      </c>
      <c r="C44" s="2" t="inlineStr">
        <is>
          <t>AISI 304</t>
        </is>
      </c>
      <c r="D44" s="2" t="n">
        <v>1</v>
      </c>
      <c r="E44" s="3" t="n">
        <v>260</v>
      </c>
      <c r="F44" s="2" t="inlineStr">
        <is>
          <t>idem</t>
        </is>
      </c>
      <c r="G44" s="2" t="inlineStr"/>
      <c r="H44" s="3">
        <f>D44*E44</f>
        <v/>
      </c>
    </row>
    <row r="45">
      <c r="A45" s="2" t="inlineStr">
        <is>
          <t>Q12</t>
        </is>
      </c>
      <c r="B45" s="2" t="inlineStr">
        <is>
          <t>Ventilazione filtrata IP54 + griglia</t>
        </is>
      </c>
      <c r="C45" s="2" t="inlineStr">
        <is>
          <t>24 V</t>
        </is>
      </c>
      <c r="D45" s="2" t="n">
        <v>1</v>
      </c>
      <c r="E45" s="3" t="n">
        <v>45</v>
      </c>
      <c r="F45" s="2" t="inlineStr">
        <is>
          <t>idem</t>
        </is>
      </c>
      <c r="G45" s="2" t="inlineStr"/>
      <c r="H45" s="3">
        <f>D45*E45</f>
        <v/>
      </c>
    </row>
    <row r="46">
      <c r="A46" s="2" t="inlineStr">
        <is>
          <t>Q13</t>
        </is>
      </c>
      <c r="B46" s="2" t="inlineStr">
        <is>
          <t>Guida DIN, canaline, morsetti, capicorda, targhette</t>
        </is>
      </c>
      <c r="C46" s="2" t="inlineStr"/>
      <c r="D46" s="2" t="n">
        <v>1</v>
      </c>
      <c r="E46" s="3" t="n">
        <v>90</v>
      </c>
      <c r="F46" s="2" t="inlineStr">
        <is>
          <t>idem</t>
        </is>
      </c>
      <c r="G46" s="2" t="inlineStr"/>
      <c r="H46" s="3">
        <f>D46*E46</f>
        <v/>
      </c>
    </row>
    <row r="47">
      <c r="A47" s="2" t="inlineStr">
        <is>
          <t>Q14</t>
        </is>
      </c>
      <c r="B47" s="2" t="inlineStr">
        <is>
          <t>Connettore Harting Han-Modular 24B completo</t>
        </is>
      </c>
      <c r="C47" s="2" t="inlineStr">
        <is>
          <t>moduli EE 8p ×2 (fasi) + DD 12p ×2 (encoder) + PE, custodia e base</t>
        </is>
      </c>
      <c r="D47" s="2" t="n">
        <v>1</v>
      </c>
      <c r="E47" s="3" t="n">
        <v>160</v>
      </c>
      <c r="F47" s="2" t="inlineStr">
        <is>
          <t>Harting / distributore</t>
        </is>
      </c>
      <c r="G47" s="2" t="inlineStr">
        <is>
          <t>Motori: il portale si stacca</t>
        </is>
      </c>
      <c r="H47" s="3">
        <f>D47*E47</f>
        <v/>
      </c>
    </row>
    <row r="48">
      <c r="A48" s="2" t="inlineStr">
        <is>
          <t>Q15</t>
        </is>
      </c>
      <c r="B48" s="2" t="inlineStr">
        <is>
          <t>Connettore Harting Han 16E completo</t>
        </is>
      </c>
      <c r="C48" s="2" t="inlineStr">
        <is>
          <t>sensori e barriera</t>
        </is>
      </c>
      <c r="D48" s="2" t="n">
        <v>1</v>
      </c>
      <c r="E48" s="3" t="n">
        <v>70</v>
      </c>
      <c r="F48" s="2" t="inlineStr">
        <is>
          <t>idem</t>
        </is>
      </c>
      <c r="G48" s="2" t="inlineStr"/>
      <c r="H48" s="3">
        <f>D48*E48</f>
        <v/>
      </c>
    </row>
    <row r="49">
      <c r="A49" s="2" t="inlineStr">
        <is>
          <t>Q16</t>
        </is>
      </c>
      <c r="B49" s="2" t="inlineStr">
        <is>
          <t>Cavo motore 4×1,0 schermato per catena (chainflex)</t>
        </is>
      </c>
      <c r="C49" s="2" t="inlineStr">
        <is>
          <t>metri</t>
        </is>
      </c>
      <c r="D49" s="2" t="n">
        <v>16</v>
      </c>
      <c r="E49" s="3" t="n">
        <v>6</v>
      </c>
      <c r="F49" s="2" t="inlineStr">
        <is>
          <t>igus / Lapp</t>
        </is>
      </c>
      <c r="G49" s="2" t="inlineStr"/>
      <c r="H49" s="3">
        <f>D49*E49</f>
        <v/>
      </c>
    </row>
    <row r="50">
      <c r="A50" s="2" t="inlineStr">
        <is>
          <t>Q17</t>
        </is>
      </c>
      <c r="B50" s="2" t="inlineStr">
        <is>
          <t>Cavo encoder 6×0,25 schermato per catena</t>
        </is>
      </c>
      <c r="C50" s="2" t="inlineStr">
        <is>
          <t>metri</t>
        </is>
      </c>
      <c r="D50" s="2" t="n">
        <v>16</v>
      </c>
      <c r="E50" s="3" t="n">
        <v>5</v>
      </c>
      <c r="F50" s="2" t="inlineStr">
        <is>
          <t>idem</t>
        </is>
      </c>
      <c r="G50" s="2" t="inlineStr"/>
      <c r="H50" s="3">
        <f>D50*E50</f>
        <v/>
      </c>
    </row>
    <row r="51">
      <c r="A51" s="2" t="inlineStr">
        <is>
          <t>Q18</t>
        </is>
      </c>
      <c r="B51" s="2" t="inlineStr">
        <is>
          <t>Cavo sensori 3×0,34 PUR</t>
        </is>
      </c>
      <c r="C51" s="2" t="inlineStr">
        <is>
          <t>metri</t>
        </is>
      </c>
      <c r="D51" s="2" t="n">
        <v>25</v>
      </c>
      <c r="E51" s="3" t="n">
        <v>1.5</v>
      </c>
      <c r="F51" s="2" t="inlineStr">
        <is>
          <t>idem</t>
        </is>
      </c>
      <c r="G51" s="2" t="inlineStr"/>
      <c r="H51" s="3">
        <f>D51*E51</f>
        <v/>
      </c>
    </row>
    <row r="52">
      <c r="A52" s="2" t="inlineStr">
        <is>
          <t>Q19</t>
        </is>
      </c>
      <c r="B52" s="2" t="inlineStr">
        <is>
          <t>Cavo alimentazione H07RN-F 3G1,5 + spina</t>
        </is>
      </c>
      <c r="C52" s="2" t="inlineStr">
        <is>
          <t>3 m</t>
        </is>
      </c>
      <c r="D52" s="2" t="n">
        <v>1</v>
      </c>
      <c r="E52" s="3" t="n">
        <v>18</v>
      </c>
      <c r="F52" s="2" t="inlineStr">
        <is>
          <t>idem</t>
        </is>
      </c>
      <c r="G52" s="2" t="inlineStr"/>
      <c r="H52" s="3">
        <f>D52*E52</f>
        <v/>
      </c>
    </row>
    <row r="53">
      <c r="A53" s="2" t="inlineStr">
        <is>
          <t>Q20</t>
        </is>
      </c>
      <c r="B53" s="2" t="inlineStr">
        <is>
          <t>Patch Ethernet Cat6 S/FTP</t>
        </is>
      </c>
      <c r="C53" s="2" t="inlineStr">
        <is>
          <t>verso switch VLAN IoT</t>
        </is>
      </c>
      <c r="D53" s="2" t="n">
        <v>1</v>
      </c>
      <c r="E53" s="3" t="n">
        <v>10</v>
      </c>
      <c r="F53" s="2" t="inlineStr">
        <is>
          <t>Informatica</t>
        </is>
      </c>
      <c r="G53" s="2" t="inlineStr"/>
      <c r="H53" s="3">
        <f>D53*E53</f>
        <v/>
      </c>
    </row>
    <row r="54">
      <c r="E54" s="4" t="n"/>
      <c r="H54" s="4" t="n"/>
    </row>
    <row r="55">
      <c r="E55" s="4" t="n"/>
      <c r="G55" s="5" t="inlineStr">
        <is>
          <t>Totale stimato</t>
        </is>
      </c>
      <c r="H55" s="6">
        <f>SUM(H2:H53)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34" customWidth="1" min="3" max="3"/>
    <col width="6" customWidth="1" min="4" max="4"/>
    <col width="26" customWidth="1" min="5" max="5"/>
    <col width="14" customWidth="1" min="6" max="6"/>
    <col width="60" customWidth="1" min="7" max="7"/>
    <col width="13" customWidth="1" min="8" max="8"/>
    <col width="13" customWidth="1" min="9" max="9"/>
  </cols>
  <sheetData>
    <row r="1">
      <c r="A1" s="1" t="inlineStr">
        <is>
          <t>Codice</t>
        </is>
      </c>
      <c r="B1" s="1" t="inlineStr">
        <is>
          <t>Descrizione</t>
        </is>
      </c>
      <c r="C1" s="1" t="inlineStr">
        <is>
          <t>Materiale</t>
        </is>
      </c>
      <c r="D1" s="1" t="inlineStr">
        <is>
          <t>Q.tà</t>
        </is>
      </c>
      <c r="E1" s="1" t="inlineStr">
        <is>
          <t>Artigiano</t>
        </is>
      </c>
      <c r="F1" s="1" t="inlineStr">
        <is>
          <t>Disegno</t>
        </is>
      </c>
      <c r="G1" s="1" t="inlineStr">
        <is>
          <t>Lavorazioni</t>
        </is>
      </c>
      <c r="H1" s="1" t="inlineStr">
        <is>
          <t>€/pz stimato</t>
        </is>
      </c>
      <c r="I1" s="1" t="inlineStr">
        <is>
          <t>€ totale</t>
        </is>
      </c>
    </row>
    <row r="2">
      <c r="A2" s="2" t="inlineStr">
        <is>
          <t>TEL-01</t>
        </is>
      </c>
      <c r="B2" s="2" t="inlineStr">
        <is>
          <t>Telaio portale saldato</t>
        </is>
      </c>
      <c r="C2" s="2" t="inlineStr">
        <is>
          <t>AISI 304 tubi 60×60×3, 80×40×3, 60×40×3</t>
        </is>
      </c>
      <c r="D2" s="2" t="n">
        <v>1</v>
      </c>
      <c r="E2" s="2" t="inlineStr">
        <is>
          <t>Carpenteria inox (TIG)</t>
        </is>
      </c>
      <c r="F2" s="2" t="inlineStr">
        <is>
          <t>Tav. 02</t>
        </is>
      </c>
      <c r="G2" s="2" t="inlineStr">
        <is>
          <t>taglio, saldatura TIG su dima con perni negli ancoraggi, fresatura/spessoramento piano guide, fori Ø17 albero, decapaggio e passivazione</t>
        </is>
      </c>
      <c r="H2" s="3" t="n">
        <v>900</v>
      </c>
      <c r="I2" s="3">
        <f>D2*H2</f>
        <v/>
      </c>
    </row>
    <row r="3">
      <c r="A3" s="2" t="inlineStr">
        <is>
          <t>PON-01</t>
        </is>
      </c>
      <c r="B3" s="2" t="inlineStr">
        <is>
          <t>Traversa ponte</t>
        </is>
      </c>
      <c r="C3" s="2" t="inlineStr">
        <is>
          <t>AISI 304 tubo 40×40×2 L=830 con piastrine M8</t>
        </is>
      </c>
      <c r="D3" s="2" t="n">
        <v>1</v>
      </c>
      <c r="E3" s="2" t="inlineStr">
        <is>
          <t>Carpenteria inox (TIG)</t>
        </is>
      </c>
      <c r="F3" s="2" t="inlineStr">
        <is>
          <t>Tav. 01</t>
        </is>
      </c>
      <c r="G3" s="2" t="inlineStr">
        <is>
          <t>taglio, piastrine saldate, fori</t>
        </is>
      </c>
      <c r="H3" s="3" t="n">
        <v>70</v>
      </c>
      <c r="I3" s="3">
        <f>D3*H3</f>
        <v/>
      </c>
    </row>
    <row r="4">
      <c r="A4" s="2" t="inlineStr">
        <is>
          <t>SQZ-01</t>
        </is>
      </c>
      <c r="B4" s="2" t="inlineStr">
        <is>
          <t>Squadra attacco piastra Z al carrello</t>
        </is>
      </c>
      <c r="C4" s="2" t="inlineStr">
        <is>
          <t>AISI 304 angolare 60×60×6 L=260</t>
        </is>
      </c>
      <c r="D4" s="2" t="n">
        <v>2</v>
      </c>
      <c r="E4" s="2" t="inlineStr">
        <is>
          <t>Carpenteria inox (TIG)</t>
        </is>
      </c>
      <c r="F4" s="2" t="inlineStr">
        <is>
          <t>Tav. 06-07</t>
        </is>
      </c>
      <c r="G4" s="2" t="inlineStr">
        <is>
          <t>taglio e foratura M8 accoppiata</t>
        </is>
      </c>
      <c r="H4" s="3" t="n">
        <v>35</v>
      </c>
      <c r="I4" s="3">
        <f>D4*H4</f>
        <v/>
      </c>
    </row>
    <row r="5">
      <c r="A5" s="2" t="inlineStr">
        <is>
          <t>CAR-01</t>
        </is>
      </c>
      <c r="B5" s="2" t="inlineStr">
        <is>
          <t>Piastra carrello X</t>
        </is>
      </c>
      <c r="C5" s="2" t="inlineStr">
        <is>
          <t>AISI 304 sp. 12</t>
        </is>
      </c>
      <c r="D5" s="2" t="n">
        <v>2</v>
      </c>
      <c r="E5" s="2" t="inlineStr">
        <is>
          <t>Taglio laser + officina</t>
        </is>
      </c>
      <c r="F5" s="2" t="inlineStr">
        <is>
          <t>Tav. 06 · DXF</t>
        </is>
      </c>
      <c r="G5" s="2" t="inlineStr">
        <is>
          <t>laser, foratura e maschiatura, rettifica appoggi pattini</t>
        </is>
      </c>
      <c r="H5" s="3" t="n">
        <v>90</v>
      </c>
      <c r="I5" s="3">
        <f>D5*H5</f>
        <v/>
      </c>
    </row>
    <row r="6">
      <c r="A6" s="2" t="inlineStr">
        <is>
          <t>ZPL-01</t>
        </is>
      </c>
      <c r="B6" s="2" t="inlineStr">
        <is>
          <t>Piastra Z fissa</t>
        </is>
      </c>
      <c r="C6" s="2" t="inlineStr">
        <is>
          <t>AISI 304 sp. 15</t>
        </is>
      </c>
      <c r="D6" s="2" t="n">
        <v>2</v>
      </c>
      <c r="E6" s="2" t="inlineStr">
        <is>
          <t>Taglio laser + officina</t>
        </is>
      </c>
      <c r="F6" s="2" t="inlineStr">
        <is>
          <t>Tav. 07 · DXF</t>
        </is>
      </c>
      <c r="G6" s="2" t="inlineStr">
        <is>
          <t>laser, maschiatura, fresatura appoggi supporti</t>
        </is>
      </c>
      <c r="H6" s="3" t="n">
        <v>120</v>
      </c>
      <c r="I6" s="3">
        <f>D6*H6</f>
        <v/>
      </c>
    </row>
    <row r="7">
      <c r="A7" s="2" t="inlineStr">
        <is>
          <t>ZSL-01</t>
        </is>
      </c>
      <c r="B7" s="2" t="inlineStr">
        <is>
          <t>Slitta Z lato Y− con motore R</t>
        </is>
      </c>
      <c r="C7" s="2" t="inlineStr">
        <is>
          <t>AISI 304 sp. 16</t>
        </is>
      </c>
      <c r="D7" s="2" t="n">
        <v>1</v>
      </c>
      <c r="E7" s="2" t="inlineStr">
        <is>
          <t>Taglio laser + officina</t>
        </is>
      </c>
      <c r="F7" s="2" t="inlineStr">
        <is>
          <t>Tav. 09 · DXF</t>
        </is>
      </c>
      <c r="G7" s="2" t="inlineStr">
        <is>
          <t>laser, alesatura sede Ø47 H7, maschiatura, asole motore, bandierina saldata</t>
        </is>
      </c>
      <c r="H7" s="3" t="n">
        <v>120</v>
      </c>
      <c r="I7" s="3">
        <f>D7*H7</f>
        <v/>
      </c>
    </row>
    <row r="8">
      <c r="A8" s="2" t="inlineStr">
        <is>
          <t>ZSL-02</t>
        </is>
      </c>
      <c r="B8" s="2" t="inlineStr">
        <is>
          <t>Slitta Z lato Y+</t>
        </is>
      </c>
      <c r="C8" s="2" t="inlineStr">
        <is>
          <t>AISI 304 sp. 16</t>
        </is>
      </c>
      <c r="D8" s="2" t="n">
        <v>1</v>
      </c>
      <c r="E8" s="2" t="inlineStr">
        <is>
          <t>Taglio laser + officina</t>
        </is>
      </c>
      <c r="F8" s="2" t="inlineStr">
        <is>
          <t>Tav. 08 · DXF</t>
        </is>
      </c>
      <c r="G8" s="2" t="inlineStr">
        <is>
          <t>laser, alesatura sede Ø47 H7, maschiatura, bandierina saldata</t>
        </is>
      </c>
      <c r="H8" s="3" t="n">
        <v>110</v>
      </c>
      <c r="I8" s="3">
        <f>D8*H8</f>
        <v/>
      </c>
    </row>
    <row r="9">
      <c r="A9" s="2" t="inlineStr">
        <is>
          <t>COP-01</t>
        </is>
      </c>
      <c r="B9" s="2" t="inlineStr">
        <is>
          <t>Coperchio cuscinetto Ø72</t>
        </is>
      </c>
      <c r="C9" s="2" t="inlineStr">
        <is>
          <t>AISI 304 sp. 5</t>
        </is>
      </c>
      <c r="D9" s="2" t="n">
        <v>2</v>
      </c>
      <c r="E9" s="2" t="inlineStr">
        <is>
          <t>Taglio laser + tornitore</t>
        </is>
      </c>
      <c r="F9" s="2" t="inlineStr">
        <is>
          <t>Tav. 10 · DXF</t>
        </is>
      </c>
      <c r="G9" s="2" t="inlineStr">
        <is>
          <t>laser, tornitura contorno e spallamento Ø47</t>
        </is>
      </c>
      <c r="H9" s="3" t="n">
        <v>20</v>
      </c>
      <c r="I9" s="3">
        <f>D9*H9</f>
        <v/>
      </c>
    </row>
    <row r="10">
      <c r="A10" s="2" t="inlineStr">
        <is>
          <t>PIE-01</t>
        </is>
      </c>
      <c r="B10" s="2" t="inlineStr">
        <is>
          <t>Piastra piede montante</t>
        </is>
      </c>
      <c r="C10" s="2" t="inlineStr">
        <is>
          <t>AISI 304 sp. 10</t>
        </is>
      </c>
      <c r="D10" s="2" t="n">
        <v>4</v>
      </c>
      <c r="E10" s="2" t="inlineStr">
        <is>
          <t>Taglio laser + officina</t>
        </is>
      </c>
      <c r="F10" s="2" t="inlineStr">
        <is>
          <t>Tav. 11 · DXF</t>
        </is>
      </c>
      <c r="G10" s="2" t="inlineStr">
        <is>
          <t>laser, alesatura Ø20 H7, filetto M12×1 su 2 pezzi</t>
        </is>
      </c>
      <c r="H10" s="3" t="n">
        <v>25</v>
      </c>
      <c r="I10" s="3">
        <f>D10*H10</f>
        <v/>
      </c>
    </row>
    <row r="11">
      <c r="A11" s="2" t="inlineStr">
        <is>
          <t>STM-01</t>
        </is>
      </c>
      <c r="B11" s="2" t="inlineStr">
        <is>
          <t>Flangia motore NEMA23</t>
        </is>
      </c>
      <c r="C11" s="2" t="inlineStr">
        <is>
          <t>AISI 304 sp. 10</t>
        </is>
      </c>
      <c r="D11" s="2" t="n">
        <v>4</v>
      </c>
      <c r="E11" s="2" t="inlineStr">
        <is>
          <t>Taglio laser + officina</t>
        </is>
      </c>
      <c r="F11" s="2" t="inlineStr">
        <is>
          <t>Tav. 12 · DXF</t>
        </is>
      </c>
      <c r="G11" s="2" t="inlineStr">
        <is>
          <t>laser, foratura</t>
        </is>
      </c>
      <c r="H11" s="3" t="n">
        <v>20</v>
      </c>
      <c r="I11" s="3">
        <f>D11*H11</f>
        <v/>
      </c>
    </row>
    <row r="12">
      <c r="A12" s="2" t="inlineStr">
        <is>
          <t>CTP-01</t>
        </is>
      </c>
      <c r="B12" s="2" t="inlineStr">
        <is>
          <t>Contropiastra sotto piano</t>
        </is>
      </c>
      <c r="C12" s="2" t="inlineStr">
        <is>
          <t>AISI 304 sp. 5</t>
        </is>
      </c>
      <c r="D12" s="2" t="n">
        <v>4</v>
      </c>
      <c r="E12" s="2" t="inlineStr">
        <is>
          <t>Taglio laser</t>
        </is>
      </c>
      <c r="F12" s="2" t="inlineStr">
        <is>
          <t>Tav. 13</t>
        </is>
      </c>
      <c r="G12" s="2" t="inlineStr">
        <is>
          <t>laser</t>
        </is>
      </c>
      <c r="H12" s="3" t="n">
        <v>10</v>
      </c>
      <c r="I12" s="3">
        <f>D12*H12</f>
        <v/>
      </c>
    </row>
    <row r="13">
      <c r="A13" s="2" t="inlineStr">
        <is>
          <t>ANC-01</t>
        </is>
      </c>
      <c r="B13" s="2" t="inlineStr">
        <is>
          <t>Ancoraggio A1 riferimento</t>
        </is>
      </c>
      <c r="C13" s="2" t="inlineStr">
        <is>
          <t>AISI 304 barra quadra 100</t>
        </is>
      </c>
      <c r="D13" s="2" t="n">
        <v>1</v>
      </c>
      <c r="E13" s="2" t="inlineStr">
        <is>
          <t>Tornitore / fresatore</t>
        </is>
      </c>
      <c r="F13" s="2" t="inlineStr">
        <is>
          <t>Tav. 03</t>
        </is>
      </c>
      <c r="G13" s="2" t="inlineStr">
        <is>
          <t>fresatura, alesatura Ø20 H7, foro Ø8 H8 trasversale, 4×M8</t>
        </is>
      </c>
      <c r="H13" s="3" t="n">
        <v>90</v>
      </c>
      <c r="I13" s="3">
        <f>D13*H13</f>
        <v/>
      </c>
    </row>
    <row r="14">
      <c r="A14" s="2" t="inlineStr">
        <is>
          <t>ANC-02</t>
        </is>
      </c>
      <c r="B14" s="2" t="inlineStr">
        <is>
          <t>Ancoraggio A2 asola</t>
        </is>
      </c>
      <c r="C14" s="2" t="inlineStr">
        <is>
          <t>AISI 304 barra quadra 100</t>
        </is>
      </c>
      <c r="D14" s="2" t="n">
        <v>1</v>
      </c>
      <c r="E14" s="2" t="inlineStr">
        <is>
          <t>Tornitore / fresatore</t>
        </is>
      </c>
      <c r="F14" s="2" t="inlineStr">
        <is>
          <t>Tav. 03</t>
        </is>
      </c>
      <c r="G14" s="2" t="inlineStr">
        <is>
          <t>fresatura asola 20 H7×26, foro Ø8 H8, 4×M8</t>
        </is>
      </c>
      <c r="H14" s="3" t="n">
        <v>100</v>
      </c>
      <c r="I14" s="3">
        <f>D14*H14</f>
        <v/>
      </c>
    </row>
    <row r="15">
      <c r="A15" s="2" t="inlineStr">
        <is>
          <t>ANC-03</t>
        </is>
      </c>
      <c r="B15" s="2" t="inlineStr">
        <is>
          <t>Ancoraggio A3/A4 appoggio</t>
        </is>
      </c>
      <c r="C15" s="2" t="inlineStr">
        <is>
          <t>AISI 304 barra quadra 100</t>
        </is>
      </c>
      <c r="D15" s="2" t="n">
        <v>2</v>
      </c>
      <c r="E15" s="2" t="inlineStr">
        <is>
          <t>Tornitore / fresatore</t>
        </is>
      </c>
      <c r="F15" s="2" t="inlineStr">
        <is>
          <t>Tav. 03</t>
        </is>
      </c>
      <c r="G15" s="2" t="inlineStr">
        <is>
          <t>fresatura, foro Ø26, 4×M8</t>
        </is>
      </c>
      <c r="H15" s="3" t="n">
        <v>70</v>
      </c>
      <c r="I15" s="3">
        <f>D15*H15</f>
        <v/>
      </c>
    </row>
    <row r="16">
      <c r="A16" s="2" t="inlineStr">
        <is>
          <t>PER-01</t>
        </is>
      </c>
      <c r="B16" s="2" t="inlineStr">
        <is>
          <t>Perno di centraggio</t>
        </is>
      </c>
      <c r="C16" s="2" t="inlineStr">
        <is>
          <t>AISI 420 temprato (o 304)</t>
        </is>
      </c>
      <c r="D16" s="2" t="n">
        <v>4</v>
      </c>
      <c r="E16" s="2" t="inlineStr">
        <is>
          <t>Tornitore</t>
        </is>
      </c>
      <c r="F16" s="2" t="inlineStr">
        <is>
          <t>Tav. 04</t>
        </is>
      </c>
      <c r="G16" s="2" t="inlineStr">
        <is>
          <t>tornitura Ø20 g6, punta conica, foro Ø8 H8 su 2 pezzi</t>
        </is>
      </c>
      <c r="H16" s="3" t="n">
        <v>35</v>
      </c>
      <c r="I16" s="3">
        <f>D16*H16</f>
        <v/>
      </c>
    </row>
    <row r="17">
      <c r="A17" s="2" t="inlineStr">
        <is>
          <t>RUL-01</t>
        </is>
      </c>
      <c r="B17" s="2" t="inlineStr">
        <is>
          <t>Rullo di laminazione Ø100</t>
        </is>
      </c>
      <c r="C17" s="2" t="inlineStr">
        <is>
          <t>AISI 304 tubo Ø100×3 + testate + perni</t>
        </is>
      </c>
      <c r="D17" s="2" t="n">
        <v>1</v>
      </c>
      <c r="E17" s="2" t="inlineStr">
        <is>
          <t>Tornitore (rettifica)</t>
        </is>
      </c>
      <c r="F17" s="2" t="inlineStr">
        <is>
          <t>Tav. 05</t>
        </is>
      </c>
      <c r="G17" s="2" t="inlineStr">
        <is>
          <t>saldatura testate, tornitura tra le punte, rettifica e lucidatura Ra≤0,8, cava linguetta, equilibratura</t>
        </is>
      </c>
      <c r="H17" s="3" t="n">
        <v>380</v>
      </c>
      <c r="I17" s="3">
        <f>D17*H17</f>
        <v/>
      </c>
    </row>
    <row r="18">
      <c r="A18" s="2" t="inlineStr">
        <is>
          <t>ASS-X</t>
        </is>
      </c>
      <c r="B18" s="2" t="inlineStr">
        <is>
          <t>Albero di sincronismo</t>
        </is>
      </c>
      <c r="C18" s="2" t="inlineStr">
        <is>
          <t>AISI 304 Ø16</t>
        </is>
      </c>
      <c r="D18" s="2" t="n">
        <v>1</v>
      </c>
      <c r="E18" s="2" t="inlineStr">
        <is>
          <t>Tornitore</t>
        </is>
      </c>
      <c r="F18" s="2" t="inlineStr">
        <is>
          <t>Tav. 13</t>
        </is>
      </c>
      <c r="G18" s="2" t="inlineStr">
        <is>
          <t>tornitura sedi Ø15 k6, 2 cave linguetta, estremità Ø14</t>
        </is>
      </c>
      <c r="H18" s="3" t="n">
        <v>70</v>
      </c>
      <c r="I18" s="3">
        <f>D18*H18</f>
        <v/>
      </c>
    </row>
    <row r="19">
      <c r="A19" s="2" t="inlineStr">
        <is>
          <t>DIS-01</t>
        </is>
      </c>
      <c r="B19" s="2" t="inlineStr">
        <is>
          <t>Distanziali motore Z 40 mm</t>
        </is>
      </c>
      <c r="C19" s="2" t="inlineStr">
        <is>
          <t>AISI 304 Ø12 forato</t>
        </is>
      </c>
      <c r="D19" s="2" t="n">
        <v>8</v>
      </c>
      <c r="E19" s="2" t="inlineStr">
        <is>
          <t>Tornitore</t>
        </is>
      </c>
      <c r="F19" s="2" t="inlineStr">
        <is>
          <t>Tav. 13</t>
        </is>
      </c>
      <c r="G19" s="2" t="inlineStr">
        <is>
          <t>tornitura</t>
        </is>
      </c>
      <c r="H19" s="3" t="n">
        <v>5</v>
      </c>
      <c r="I19" s="3">
        <f>D19*H19</f>
        <v/>
      </c>
    </row>
    <row r="20">
      <c r="A20" s="2" t="inlineStr">
        <is>
          <t>RAS-01</t>
        </is>
      </c>
      <c r="B20" s="2" t="inlineStr">
        <is>
          <t>Raschietto rullo</t>
        </is>
      </c>
      <c r="C20" s="2" t="inlineStr">
        <is>
          <t>POM-C alimentare sp. 10</t>
        </is>
      </c>
      <c r="D20" s="2" t="n">
        <v>2</v>
      </c>
      <c r="E20" s="2" t="inlineStr">
        <is>
          <t>Fresatura materie plastiche</t>
        </is>
      </c>
      <c r="F20" s="2" t="inlineStr">
        <is>
          <t>Tav. 13</t>
        </is>
      </c>
      <c r="G20" s="2" t="inlineStr">
        <is>
          <t>fresatura lama 20°, asole</t>
        </is>
      </c>
      <c r="H20" s="3" t="n">
        <v>30</v>
      </c>
      <c r="I20" s="3">
        <f>D20*H20</f>
        <v/>
      </c>
    </row>
    <row r="21">
      <c r="A21" s="2" t="inlineStr">
        <is>
          <t>QE-01</t>
        </is>
      </c>
      <c r="B21" s="2" t="inlineStr">
        <is>
          <t>Cablaggio quadro elettrico + collaudo</t>
        </is>
      </c>
      <c r="C21" s="2" t="inlineStr">
        <is>
          <t>secondo wiring/schemi_elettrici.pdf</t>
        </is>
      </c>
      <c r="D21" s="2" t="n">
        <v>1</v>
      </c>
      <c r="E21" s="2" t="inlineStr">
        <is>
          <t>Quadrista / elettricista</t>
        </is>
      </c>
      <c r="F21" s="2" t="inlineStr">
        <is>
          <t>E01–E05</t>
        </is>
      </c>
      <c r="G21" s="2" t="inlineStr">
        <is>
          <t>montaggio, cablaggio, prove CEI EN 60204-1, dichiarazione</t>
        </is>
      </c>
      <c r="H21" s="3" t="n">
        <v>600</v>
      </c>
      <c r="I21" s="3">
        <f>D21*H21</f>
        <v/>
      </c>
    </row>
    <row r="22">
      <c r="H22" s="4" t="n"/>
      <c r="I22" s="4" t="n"/>
    </row>
    <row r="23">
      <c r="H23" s="6" t="inlineStr">
        <is>
          <t>Totale stimato</t>
        </is>
      </c>
      <c r="I23" s="6">
        <f>SUM(I2:I21)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7" t="inlineStr">
        <is>
          <t>ManipMasta — riepilogo costi (stime indicative IVA esclusa, da sostituire con preventivi)</t>
        </is>
      </c>
    </row>
    <row r="3">
      <c r="A3" t="inlineStr">
        <is>
          <t>Componenti da acquistare</t>
        </is>
      </c>
      <c r="B3" s="8">
        <f>Acquisti!H55</f>
        <v/>
      </c>
    </row>
    <row r="4">
      <c r="A4" t="inlineStr">
        <is>
          <t>Lavorazioni artigiani</t>
        </is>
      </c>
      <c r="B4" s="8">
        <f>Artigiani!I23</f>
        <v/>
      </c>
    </row>
    <row r="5">
      <c r="A5" t="inlineStr">
        <is>
          <t>Imprevisti 10%</t>
        </is>
      </c>
      <c r="B5" s="8">
        <f>0.1*(B3+B4)</f>
        <v/>
      </c>
    </row>
    <row r="6">
      <c r="A6" s="5" t="inlineStr">
        <is>
          <t>Totale</t>
        </is>
      </c>
      <c r="B6" s="9">
        <f>B3+B4+B5</f>
        <v/>
      </c>
    </row>
    <row r="8">
      <c r="A8" t="inlineStr">
        <is>
          <t>Per artigiano: filtrare il foglio 'Artigiani' sulla colonna Artigiano e allegare le tavole/DXF indicati.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2026-10-18T14:57:44Z</dcterms:created>
  <dcterms:modified xmlns:dcterms="http://purl.org/dc/terms/" xmlns:xsi="http://www.w3.org/2001/XMLSchema-instance" xsi:type="dcterms:W3CDTF">2026-10-18T14:57:44Z</dcterms:modified>
</cp:coreProperties>
</file>